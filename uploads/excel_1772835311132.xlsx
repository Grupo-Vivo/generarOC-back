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\Desktop\"/>
    </mc:Choice>
  </mc:AlternateContent>
  <xr:revisionPtr revIDLastSave="0" documentId="13_ncr:1_{6F67E1FF-90BC-4678-8A73-F20194D0A3EF}" xr6:coauthVersionLast="47" xr6:coauthVersionMax="47" xr10:uidLastSave="{00000000-0000-0000-0000-000000000000}"/>
  <bookViews>
    <workbookView xWindow="20370" yWindow="-120" windowWidth="29040" windowHeight="15720" xr2:uid="{9DB75372-DF25-4D23-B753-45D314F8D9C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" i="2"/>
</calcChain>
</file>

<file path=xl/sharedStrings.xml><?xml version="1.0" encoding="utf-8"?>
<sst xmlns="http://schemas.openxmlformats.org/spreadsheetml/2006/main" count="110" uniqueCount="77">
  <si>
    <t>bloque</t>
  </si>
  <si>
    <t>M00</t>
  </si>
  <si>
    <t>bit_autorecepcion</t>
  </si>
  <si>
    <r>
      <t>cc:</t>
    </r>
    <r>
      <rPr>
        <sz val="11"/>
        <color rgb="FFCCCCCC"/>
        <rFont val="Consolas"/>
        <family val="3"/>
      </rPr>
      <t xml:space="preserve">                    </t>
    </r>
    <r>
      <rPr>
        <sz val="11"/>
        <color rgb="FFCE9178"/>
        <rFont val="Consolas"/>
        <family val="3"/>
      </rPr>
      <t>'cc'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</si>
  <si>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proveedor:</t>
    </r>
    <r>
      <rPr>
        <sz val="11"/>
        <color rgb="FFCCCCCC"/>
        <rFont val="Consolas"/>
        <family val="3"/>
      </rPr>
      <t xml:space="preserve">             </t>
    </r>
    <r>
      <rPr>
        <sz val="11"/>
        <color rgb="FFCE9178"/>
        <rFont val="Consolas"/>
        <family val="3"/>
      </rPr>
      <t>'proveedor'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</si>
  <si>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moneda: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'moneda'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</si>
  <si>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tipo_cambio: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'tipo_cambio'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</si>
  <si>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fecha:</t>
    </r>
    <r>
      <rPr>
        <sz val="11"/>
        <color rgb="FFCCCCCC"/>
        <rFont val="Consolas"/>
        <family val="3"/>
      </rPr>
      <t xml:space="preserve">                 </t>
    </r>
    <r>
      <rPr>
        <sz val="11"/>
        <color rgb="FFCE9178"/>
        <rFont val="Consolas"/>
        <family val="3"/>
      </rPr>
      <t>'fecha'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</si>
  <si>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comprador:</t>
    </r>
    <r>
      <rPr>
        <sz val="11"/>
        <color rgb="FFCCCCCC"/>
        <rFont val="Consolas"/>
        <family val="3"/>
      </rPr>
      <t xml:space="preserve">             </t>
    </r>
    <r>
      <rPr>
        <sz val="11"/>
        <color rgb="FFCE9178"/>
        <rFont val="Consolas"/>
        <family val="3"/>
      </rPr>
      <t>'comprador'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</si>
  <si>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solicito: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'solicito'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</si>
  <si>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vobo: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'vobo'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</si>
  <si>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autorizo: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'autorizo'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</si>
  <si>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comentarios: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'comentarios'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</si>
  <si>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libre_abordo: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CE9178"/>
        <rFont val="Consolas"/>
        <family val="3"/>
      </rPr>
      <t>'libre_abordo'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</si>
  <si>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embarquese:</t>
    </r>
    <r>
      <rPr>
        <sz val="11"/>
        <color rgb="FFCCCCCC"/>
        <rFont val="Consolas"/>
        <family val="3"/>
      </rPr>
      <t xml:space="preserve">            </t>
    </r>
    <r>
      <rPr>
        <sz val="11"/>
        <color rgb="FFCE9178"/>
        <rFont val="Consolas"/>
        <family val="3"/>
      </rPr>
      <t>'embarquese'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</si>
  <si>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bienes_servicios: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'bienes_servicios'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</si>
  <si>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almacen:</t>
    </r>
    <r>
      <rPr>
        <sz val="11"/>
        <color rgb="FFCCCCCC"/>
        <rFont val="Consolas"/>
        <family val="3"/>
      </rPr>
      <t xml:space="preserve">               </t>
    </r>
    <r>
      <rPr>
        <sz val="11"/>
        <color rgb="FFCE9178"/>
        <rFont val="Consolas"/>
        <family val="3"/>
      </rPr>
      <t>'almacen'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</si>
  <si>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uso_cfdi: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'uso_cfdi'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</si>
  <si>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metodo_pago: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'metodo_pago'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</si>
  <si>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concepto_factura: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'concepto_factura'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</si>
  <si>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id_lugar: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'id_lugar'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</si>
  <si>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bit_autorecepcion:</t>
    </r>
    <r>
      <rPr>
        <sz val="11"/>
        <color rgb="FFCCCCCC"/>
        <rFont val="Consolas"/>
        <family val="3"/>
      </rPr>
      <t xml:space="preserve">     </t>
    </r>
    <r>
      <rPr>
        <sz val="11"/>
        <color rgb="FFCE9178"/>
        <rFont val="Consolas"/>
        <family val="3"/>
      </rPr>
      <t>'bit_autorecepcion'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</si>
  <si>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almacen_autorecepcion: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'almacen_autorecepcion'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</si>
  <si>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empleado_autorecepcion:</t>
    </r>
    <r>
      <rPr>
        <sz val="11"/>
        <color rgb="FFCE9178"/>
        <rFont val="Consolas"/>
        <family val="3"/>
      </rPr>
      <t>'empleado_autorecepcion'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</si>
  <si>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insumo: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'insumo'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</si>
  <si>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cantidad: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'cantidad'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</si>
  <si>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precio: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'precio'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</si>
  <si>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fecha_entrega:</t>
    </r>
    <r>
      <rPr>
        <sz val="11"/>
        <color rgb="FFCCCCCC"/>
        <rFont val="Consolas"/>
        <family val="3"/>
      </rPr>
      <t xml:space="preserve">         </t>
    </r>
    <r>
      <rPr>
        <sz val="11"/>
        <color rgb="FFCE9178"/>
        <rFont val="Consolas"/>
        <family val="3"/>
      </rPr>
      <t>'fecha_entrega'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</si>
  <si>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porcent_iva:</t>
    </r>
    <r>
      <rPr>
        <sz val="11"/>
        <color rgb="FFCCCCCC"/>
        <rFont val="Consolas"/>
        <family val="3"/>
      </rPr>
      <t xml:space="preserve">           </t>
    </r>
    <r>
      <rPr>
        <sz val="11"/>
        <color rgb="FFCE9178"/>
        <rFont val="Consolas"/>
        <family val="3"/>
      </rPr>
      <t>'porcent_iva'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</si>
  <si>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area: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'area'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</si>
  <si>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cuenta: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'cuenta'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</si>
  <si>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obra:</t>
    </r>
    <r>
      <rPr>
        <sz val="11"/>
        <color rgb="FFCCCCCC"/>
        <rFont val="Consolas"/>
        <family val="3"/>
      </rPr>
      <t xml:space="preserve">                  </t>
    </r>
    <r>
      <rPr>
        <sz val="11"/>
        <color rgb="FFCE9178"/>
        <rFont val="Consolas"/>
        <family val="3"/>
      </rPr>
      <t>'obra'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</si>
  <si>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multi_cc:</t>
    </r>
    <r>
      <rPr>
        <sz val="11"/>
        <color rgb="FFCCCCCC"/>
        <rFont val="Consolas"/>
        <family val="3"/>
      </rPr>
      <t xml:space="preserve">              </t>
    </r>
    <r>
      <rPr>
        <sz val="11"/>
        <color rgb="FFCE9178"/>
        <rFont val="Consolas"/>
        <family val="3"/>
      </rPr>
      <t>'multi_cc'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</si>
  <si>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frente:</t>
    </r>
    <r>
      <rPr>
        <sz val="11"/>
        <color rgb="FFCCCCCC"/>
        <rFont val="Consolas"/>
        <family val="3"/>
      </rPr>
      <t xml:space="preserve">                </t>
    </r>
    <r>
      <rPr>
        <sz val="11"/>
        <color rgb="FFCE9178"/>
        <rFont val="Consolas"/>
        <family val="3"/>
      </rPr>
      <t>'frente'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</si>
  <si>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partida_obra:</t>
    </r>
    <r>
      <rPr>
        <sz val="11"/>
        <color rgb="FFCCCCCC"/>
        <rFont val="Consolas"/>
        <family val="3"/>
      </rPr>
      <t xml:space="preserve">          </t>
    </r>
    <r>
      <rPr>
        <sz val="11"/>
        <color rgb="FFCE9178"/>
        <rFont val="Consolas"/>
        <family val="3"/>
      </rPr>
      <t>'partida_obra'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</si>
  <si>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descripcion_det:</t>
    </r>
    <r>
      <rPr>
        <sz val="11"/>
        <color rgb="FFCCCCCC"/>
        <rFont val="Consolas"/>
        <family val="3"/>
      </rPr>
      <t xml:space="preserve">       </t>
    </r>
    <r>
      <rPr>
        <sz val="11"/>
        <color rgb="FFCE9178"/>
        <rFont val="Consolas"/>
        <family val="3"/>
      </rPr>
      <t>'descripcion_det'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</si>
  <si>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num_requisicion:</t>
    </r>
    <r>
      <rPr>
        <sz val="11"/>
        <color rgb="FFCCCCCC"/>
        <rFont val="Consolas"/>
        <family val="3"/>
      </rPr>
      <t xml:space="preserve">       </t>
    </r>
    <r>
      <rPr>
        <sz val="11"/>
        <color rgb="FFCE9178"/>
        <rFont val="Consolas"/>
        <family val="3"/>
      </rPr>
      <t>'num_requisicion'</t>
    </r>
    <r>
      <rPr>
        <sz val="11"/>
        <color rgb="FFCCCCCC"/>
        <rFont val="Consolas"/>
        <family val="3"/>
      </rPr>
      <t>,</t>
    </r>
  </si>
  <si>
    <r>
      <t xml:space="preserve">  </t>
    </r>
    <r>
      <rPr>
        <sz val="11"/>
        <color rgb="FF9CDCFE"/>
        <rFont val="Consolas"/>
        <family val="3"/>
      </rPr>
      <t>part_requisicion:</t>
    </r>
    <r>
      <rPr>
        <sz val="11"/>
        <color rgb="FFCCCCCC"/>
        <rFont val="Consolas"/>
        <family val="3"/>
      </rPr>
      <t xml:space="preserve">      </t>
    </r>
    <r>
      <rPr>
        <sz val="11"/>
        <color rgb="FFCE9178"/>
        <rFont val="Consolas"/>
        <family val="3"/>
      </rPr>
      <t>'part_requisicion'</t>
    </r>
    <r>
      <rPr>
        <sz val="11"/>
        <color rgb="FFCCCCCC"/>
        <rFont val="Consolas"/>
        <family val="3"/>
      </rPr>
      <t>,</t>
    </r>
  </si>
  <si>
    <t>cc</t>
  </si>
  <si>
    <t>proveedor</t>
  </si>
  <si>
    <t>moneda</t>
  </si>
  <si>
    <t>tipo_cambio</t>
  </si>
  <si>
    <t>fecha</t>
  </si>
  <si>
    <t>comprador</t>
  </si>
  <si>
    <t>solicito</t>
  </si>
  <si>
    <t>vobo</t>
  </si>
  <si>
    <t>autorizo</t>
  </si>
  <si>
    <t>comentarios</t>
  </si>
  <si>
    <t>libre_abordo</t>
  </si>
  <si>
    <t>embarquese</t>
  </si>
  <si>
    <t>bienes_servicios</t>
  </si>
  <si>
    <t>almacen</t>
  </si>
  <si>
    <t>uso_cfdi</t>
  </si>
  <si>
    <t>metodo_pago</t>
  </si>
  <si>
    <t>concepto_factura</t>
  </si>
  <si>
    <t>id_lugar</t>
  </si>
  <si>
    <t>almacen_autorecepcion</t>
  </si>
  <si>
    <t>empleado_autorecepcion</t>
  </si>
  <si>
    <t>insumo</t>
  </si>
  <si>
    <t>cantidad</t>
  </si>
  <si>
    <t>precio</t>
  </si>
  <si>
    <t>fecha_entrega</t>
  </si>
  <si>
    <t>porcent_iva</t>
  </si>
  <si>
    <t>area</t>
  </si>
  <si>
    <t>cuenta</t>
  </si>
  <si>
    <t>obra</t>
  </si>
  <si>
    <t>multi_cc</t>
  </si>
  <si>
    <t>frente</t>
  </si>
  <si>
    <t>partida_obra</t>
  </si>
  <si>
    <t>descripcion_det</t>
  </si>
  <si>
    <t>num_requisicion</t>
  </si>
  <si>
    <t>part_requisicion</t>
  </si>
  <si>
    <t>2026-03-04</t>
  </si>
  <si>
    <t>S</t>
  </si>
  <si>
    <t>ret_1_id_cpto</t>
  </si>
  <si>
    <t>ret_1_porc</t>
  </si>
  <si>
    <t>Lic autocad Elizabeth / Katia Vega
Fact 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</si>
</sst>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quotePrefix="1" applyNumberForma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9CE3-3CAF-4301-83D5-EA285F54A4AA}">
  <dimension ref="A1:AJ3"/>
  <sheetViews>
    <sheetView tabSelected="1" workbookViewId="0">
      <selection activeCell="T1" sqref="T1"/>
    </sheetView>
  </sheetViews>
  <sheetFormatPr baseColWidth="10" defaultRowHeight="15" x14ac:dyDescent="0.25"/>
  <sheetData>
    <row r="1" spans="1:36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2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74</v>
      </c>
      <c r="AJ1" t="s">
        <v>75</v>
      </c>
    </row>
    <row r="2" spans="1:36" ht="60" x14ac:dyDescent="0.25">
      <c r="A2">
        <v>1</v>
      </c>
      <c r="B2" t="s">
        <v>1</v>
      </c>
      <c r="C2">
        <v>7347</v>
      </c>
      <c r="F2">
        <v>673</v>
      </c>
      <c r="G2">
        <v>645</v>
      </c>
      <c r="H2">
        <v>645</v>
      </c>
      <c r="J2">
        <v>2</v>
      </c>
      <c r="M2" s="2"/>
      <c r="R2" t="s">
        <v>73</v>
      </c>
      <c r="S2">
        <v>91</v>
      </c>
      <c r="T2">
        <v>131</v>
      </c>
      <c r="U2" s="2">
        <v>6740002</v>
      </c>
      <c r="V2">
        <v>1</v>
      </c>
      <c r="W2">
        <v>21800</v>
      </c>
      <c r="X2" s="1" t="s">
        <v>72</v>
      </c>
      <c r="Y2">
        <v>16</v>
      </c>
      <c r="AF2" s="2" t="s">
        <v>76</v>
      </c>
      <c r="AI2">
        <v>8</v>
      </c>
    </row>
    <row r="3" spans="1:36" x14ac:dyDescent="0.25">
      <c r="H3" s="1"/>
      <c r="M3" s="2"/>
      <c r="U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FA91-30F2-4A90-A28D-85F67AF9DD4B}">
  <dimension ref="A1:F35"/>
  <sheetViews>
    <sheetView workbookViewId="0">
      <selection activeCell="F1" sqref="F1:F35"/>
    </sheetView>
  </sheetViews>
  <sheetFormatPr baseColWidth="10" defaultRowHeight="15" x14ac:dyDescent="0.25"/>
  <cols>
    <col min="1" max="1" width="92.28515625" bestFit="1" customWidth="1"/>
    <col min="8" max="8" width="11.7109375" bestFit="1" customWidth="1"/>
  </cols>
  <sheetData>
    <row r="1" spans="1:6" x14ac:dyDescent="0.25">
      <c r="A1" s="3" t="s">
        <v>3</v>
      </c>
      <c r="B1">
        <f>SEARCH("'",A1)</f>
        <v>24</v>
      </c>
      <c r="C1">
        <f>LEN(A1)</f>
        <v>28</v>
      </c>
      <c r="D1">
        <f>C1-B1</f>
        <v>4</v>
      </c>
      <c r="E1" t="str">
        <f>MID(A1,B1+1,D1-2)</f>
        <v>cc</v>
      </c>
      <c r="F1" t="s">
        <v>38</v>
      </c>
    </row>
    <row r="2" spans="1:6" x14ac:dyDescent="0.25">
      <c r="A2" s="4" t="s">
        <v>4</v>
      </c>
      <c r="B2">
        <f t="shared" ref="B2:B35" si="0">SEARCH("'",A2)</f>
        <v>26</v>
      </c>
      <c r="C2">
        <f t="shared" ref="C2:C35" si="1">LEN(A2)</f>
        <v>37</v>
      </c>
      <c r="D2">
        <f t="shared" ref="D2:D35" si="2">C2-B2</f>
        <v>11</v>
      </c>
      <c r="E2" t="str">
        <f t="shared" ref="E2:E35" si="3">MID(A2,B2+1,D2-2)</f>
        <v>proveedor</v>
      </c>
      <c r="F2" t="s">
        <v>39</v>
      </c>
    </row>
    <row r="3" spans="1:6" x14ac:dyDescent="0.25">
      <c r="A3" s="4" t="s">
        <v>5</v>
      </c>
      <c r="B3">
        <f t="shared" si="0"/>
        <v>26</v>
      </c>
      <c r="C3">
        <f t="shared" si="1"/>
        <v>34</v>
      </c>
      <c r="D3">
        <f t="shared" si="2"/>
        <v>8</v>
      </c>
      <c r="E3" t="str">
        <f t="shared" si="3"/>
        <v>moneda</v>
      </c>
      <c r="F3" t="s">
        <v>40</v>
      </c>
    </row>
    <row r="4" spans="1:6" x14ac:dyDescent="0.25">
      <c r="A4" s="4" t="s">
        <v>6</v>
      </c>
      <c r="B4">
        <f t="shared" si="0"/>
        <v>26</v>
      </c>
      <c r="C4">
        <f t="shared" si="1"/>
        <v>39</v>
      </c>
      <c r="D4">
        <f t="shared" si="2"/>
        <v>13</v>
      </c>
      <c r="E4" t="str">
        <f t="shared" si="3"/>
        <v>tipo_cambio</v>
      </c>
      <c r="F4" t="s">
        <v>41</v>
      </c>
    </row>
    <row r="5" spans="1:6" x14ac:dyDescent="0.25">
      <c r="A5" s="4" t="s">
        <v>7</v>
      </c>
      <c r="B5">
        <f t="shared" si="0"/>
        <v>26</v>
      </c>
      <c r="C5">
        <f t="shared" si="1"/>
        <v>33</v>
      </c>
      <c r="D5">
        <f t="shared" si="2"/>
        <v>7</v>
      </c>
      <c r="E5" t="str">
        <f t="shared" si="3"/>
        <v>fecha</v>
      </c>
      <c r="F5" t="s">
        <v>42</v>
      </c>
    </row>
    <row r="6" spans="1:6" x14ac:dyDescent="0.25">
      <c r="A6" s="4" t="s">
        <v>8</v>
      </c>
      <c r="B6">
        <f t="shared" si="0"/>
        <v>26</v>
      </c>
      <c r="C6">
        <f t="shared" si="1"/>
        <v>37</v>
      </c>
      <c r="D6">
        <f t="shared" si="2"/>
        <v>11</v>
      </c>
      <c r="E6" t="str">
        <f t="shared" si="3"/>
        <v>comprador</v>
      </c>
      <c r="F6" t="s">
        <v>43</v>
      </c>
    </row>
    <row r="7" spans="1:6" x14ac:dyDescent="0.25">
      <c r="A7" s="4" t="s">
        <v>9</v>
      </c>
      <c r="B7">
        <f t="shared" si="0"/>
        <v>26</v>
      </c>
      <c r="C7">
        <f t="shared" si="1"/>
        <v>36</v>
      </c>
      <c r="D7">
        <f t="shared" si="2"/>
        <v>10</v>
      </c>
      <c r="E7" t="str">
        <f t="shared" si="3"/>
        <v>solicito</v>
      </c>
      <c r="F7" t="s">
        <v>44</v>
      </c>
    </row>
    <row r="8" spans="1:6" x14ac:dyDescent="0.25">
      <c r="A8" s="4" t="s">
        <v>10</v>
      </c>
      <c r="B8">
        <f t="shared" si="0"/>
        <v>26</v>
      </c>
      <c r="C8">
        <f t="shared" si="1"/>
        <v>32</v>
      </c>
      <c r="D8">
        <f t="shared" si="2"/>
        <v>6</v>
      </c>
      <c r="E8" t="str">
        <f t="shared" si="3"/>
        <v>vobo</v>
      </c>
      <c r="F8" t="s">
        <v>45</v>
      </c>
    </row>
    <row r="9" spans="1:6" x14ac:dyDescent="0.25">
      <c r="A9" s="4" t="s">
        <v>11</v>
      </c>
      <c r="B9">
        <f t="shared" si="0"/>
        <v>26</v>
      </c>
      <c r="C9">
        <f t="shared" si="1"/>
        <v>36</v>
      </c>
      <c r="D9">
        <f t="shared" si="2"/>
        <v>10</v>
      </c>
      <c r="E9" t="str">
        <f t="shared" si="3"/>
        <v>autorizo</v>
      </c>
      <c r="F9" t="s">
        <v>46</v>
      </c>
    </row>
    <row r="10" spans="1:6" x14ac:dyDescent="0.25">
      <c r="A10" s="4" t="s">
        <v>12</v>
      </c>
      <c r="B10">
        <f t="shared" si="0"/>
        <v>26</v>
      </c>
      <c r="C10">
        <f t="shared" si="1"/>
        <v>39</v>
      </c>
      <c r="D10">
        <f t="shared" si="2"/>
        <v>13</v>
      </c>
      <c r="E10" t="str">
        <f t="shared" si="3"/>
        <v>comentarios</v>
      </c>
      <c r="F10" t="s">
        <v>47</v>
      </c>
    </row>
    <row r="11" spans="1:6" x14ac:dyDescent="0.25">
      <c r="A11" s="4" t="s">
        <v>13</v>
      </c>
      <c r="B11">
        <f t="shared" si="0"/>
        <v>26</v>
      </c>
      <c r="C11">
        <f t="shared" si="1"/>
        <v>40</v>
      </c>
      <c r="D11">
        <f t="shared" si="2"/>
        <v>14</v>
      </c>
      <c r="E11" t="str">
        <f t="shared" si="3"/>
        <v>libre_abordo</v>
      </c>
      <c r="F11" t="s">
        <v>48</v>
      </c>
    </row>
    <row r="12" spans="1:6" x14ac:dyDescent="0.25">
      <c r="A12" s="4" t="s">
        <v>14</v>
      </c>
      <c r="B12">
        <f t="shared" si="0"/>
        <v>26</v>
      </c>
      <c r="C12">
        <f t="shared" si="1"/>
        <v>38</v>
      </c>
      <c r="D12">
        <f t="shared" si="2"/>
        <v>12</v>
      </c>
      <c r="E12" t="str">
        <f t="shared" si="3"/>
        <v>embarquese</v>
      </c>
      <c r="F12" t="s">
        <v>49</v>
      </c>
    </row>
    <row r="13" spans="1:6" x14ac:dyDescent="0.25">
      <c r="A13" s="4" t="s">
        <v>15</v>
      </c>
      <c r="B13">
        <f t="shared" si="0"/>
        <v>26</v>
      </c>
      <c r="C13">
        <f t="shared" si="1"/>
        <v>44</v>
      </c>
      <c r="D13">
        <f t="shared" si="2"/>
        <v>18</v>
      </c>
      <c r="E13" t="str">
        <f t="shared" si="3"/>
        <v>bienes_servicios</v>
      </c>
      <c r="F13" t="s">
        <v>50</v>
      </c>
    </row>
    <row r="14" spans="1:6" x14ac:dyDescent="0.25">
      <c r="A14" s="4" t="s">
        <v>16</v>
      </c>
      <c r="B14">
        <f t="shared" si="0"/>
        <v>26</v>
      </c>
      <c r="C14">
        <f t="shared" si="1"/>
        <v>35</v>
      </c>
      <c r="D14">
        <f t="shared" si="2"/>
        <v>9</v>
      </c>
      <c r="E14" t="str">
        <f t="shared" si="3"/>
        <v>almacen</v>
      </c>
      <c r="F14" t="s">
        <v>51</v>
      </c>
    </row>
    <row r="15" spans="1:6" x14ac:dyDescent="0.25">
      <c r="A15" s="4" t="s">
        <v>17</v>
      </c>
      <c r="B15">
        <f t="shared" si="0"/>
        <v>26</v>
      </c>
      <c r="C15">
        <f t="shared" si="1"/>
        <v>36</v>
      </c>
      <c r="D15">
        <f t="shared" si="2"/>
        <v>10</v>
      </c>
      <c r="E15" t="str">
        <f t="shared" si="3"/>
        <v>uso_cfdi</v>
      </c>
      <c r="F15" t="s">
        <v>52</v>
      </c>
    </row>
    <row r="16" spans="1:6" x14ac:dyDescent="0.25">
      <c r="A16" s="4" t="s">
        <v>18</v>
      </c>
      <c r="B16">
        <f t="shared" si="0"/>
        <v>26</v>
      </c>
      <c r="C16">
        <f t="shared" si="1"/>
        <v>39</v>
      </c>
      <c r="D16">
        <f t="shared" si="2"/>
        <v>13</v>
      </c>
      <c r="E16" t="str">
        <f t="shared" si="3"/>
        <v>metodo_pago</v>
      </c>
      <c r="F16" t="s">
        <v>53</v>
      </c>
    </row>
    <row r="17" spans="1:6" x14ac:dyDescent="0.25">
      <c r="A17" s="4" t="s">
        <v>19</v>
      </c>
      <c r="B17">
        <f t="shared" si="0"/>
        <v>26</v>
      </c>
      <c r="C17">
        <f t="shared" si="1"/>
        <v>44</v>
      </c>
      <c r="D17">
        <f t="shared" si="2"/>
        <v>18</v>
      </c>
      <c r="E17" t="str">
        <f t="shared" si="3"/>
        <v>concepto_factura</v>
      </c>
      <c r="F17" t="s">
        <v>54</v>
      </c>
    </row>
    <row r="18" spans="1:6" x14ac:dyDescent="0.25">
      <c r="A18" s="4" t="s">
        <v>20</v>
      </c>
      <c r="B18">
        <f t="shared" si="0"/>
        <v>26</v>
      </c>
      <c r="C18">
        <f t="shared" si="1"/>
        <v>36</v>
      </c>
      <c r="D18">
        <f t="shared" si="2"/>
        <v>10</v>
      </c>
      <c r="E18" t="str">
        <f t="shared" si="3"/>
        <v>id_lugar</v>
      </c>
      <c r="F18" t="s">
        <v>55</v>
      </c>
    </row>
    <row r="19" spans="1:6" x14ac:dyDescent="0.25">
      <c r="A19" s="4" t="s">
        <v>21</v>
      </c>
      <c r="B19">
        <f t="shared" si="0"/>
        <v>26</v>
      </c>
      <c r="C19">
        <f t="shared" si="1"/>
        <v>45</v>
      </c>
      <c r="D19">
        <f t="shared" si="2"/>
        <v>19</v>
      </c>
      <c r="E19" t="str">
        <f t="shared" si="3"/>
        <v>bit_autorecepcion</v>
      </c>
      <c r="F19" t="s">
        <v>2</v>
      </c>
    </row>
    <row r="20" spans="1:6" x14ac:dyDescent="0.25">
      <c r="A20" s="4" t="s">
        <v>22</v>
      </c>
      <c r="B20">
        <f t="shared" si="0"/>
        <v>26</v>
      </c>
      <c r="C20">
        <f t="shared" si="1"/>
        <v>49</v>
      </c>
      <c r="D20">
        <f t="shared" si="2"/>
        <v>23</v>
      </c>
      <c r="E20" t="str">
        <f t="shared" si="3"/>
        <v>almacen_autorecepcion</v>
      </c>
      <c r="F20" t="s">
        <v>56</v>
      </c>
    </row>
    <row r="21" spans="1:6" x14ac:dyDescent="0.25">
      <c r="A21" s="4" t="s">
        <v>23</v>
      </c>
      <c r="B21">
        <f t="shared" si="0"/>
        <v>26</v>
      </c>
      <c r="C21">
        <f t="shared" si="1"/>
        <v>50</v>
      </c>
      <c r="D21">
        <f t="shared" si="2"/>
        <v>24</v>
      </c>
      <c r="E21" t="str">
        <f t="shared" si="3"/>
        <v>empleado_autorecepcion</v>
      </c>
      <c r="F21" t="s">
        <v>57</v>
      </c>
    </row>
    <row r="22" spans="1:6" x14ac:dyDescent="0.25">
      <c r="A22" s="4" t="s">
        <v>24</v>
      </c>
      <c r="B22">
        <f t="shared" si="0"/>
        <v>26</v>
      </c>
      <c r="C22">
        <f t="shared" si="1"/>
        <v>34</v>
      </c>
      <c r="D22">
        <f t="shared" si="2"/>
        <v>8</v>
      </c>
      <c r="E22" t="str">
        <f t="shared" si="3"/>
        <v>insumo</v>
      </c>
      <c r="F22" t="s">
        <v>58</v>
      </c>
    </row>
    <row r="23" spans="1:6" x14ac:dyDescent="0.25">
      <c r="A23" s="4" t="s">
        <v>25</v>
      </c>
      <c r="B23">
        <f t="shared" si="0"/>
        <v>26</v>
      </c>
      <c r="C23">
        <f t="shared" si="1"/>
        <v>36</v>
      </c>
      <c r="D23">
        <f t="shared" si="2"/>
        <v>10</v>
      </c>
      <c r="E23" t="str">
        <f t="shared" si="3"/>
        <v>cantidad</v>
      </c>
      <c r="F23" t="s">
        <v>59</v>
      </c>
    </row>
    <row r="24" spans="1:6" x14ac:dyDescent="0.25">
      <c r="A24" s="4" t="s">
        <v>26</v>
      </c>
      <c r="B24">
        <f t="shared" si="0"/>
        <v>26</v>
      </c>
      <c r="C24">
        <f t="shared" si="1"/>
        <v>34</v>
      </c>
      <c r="D24">
        <f t="shared" si="2"/>
        <v>8</v>
      </c>
      <c r="E24" t="str">
        <f t="shared" si="3"/>
        <v>precio</v>
      </c>
      <c r="F24" t="s">
        <v>60</v>
      </c>
    </row>
    <row r="25" spans="1:6" x14ac:dyDescent="0.25">
      <c r="A25" s="4" t="s">
        <v>27</v>
      </c>
      <c r="B25">
        <f t="shared" si="0"/>
        <v>26</v>
      </c>
      <c r="C25">
        <f t="shared" si="1"/>
        <v>41</v>
      </c>
      <c r="D25">
        <f t="shared" si="2"/>
        <v>15</v>
      </c>
      <c r="E25" t="str">
        <f t="shared" si="3"/>
        <v>fecha_entrega</v>
      </c>
      <c r="F25" t="s">
        <v>61</v>
      </c>
    </row>
    <row r="26" spans="1:6" x14ac:dyDescent="0.25">
      <c r="A26" s="4" t="s">
        <v>28</v>
      </c>
      <c r="B26">
        <f t="shared" si="0"/>
        <v>26</v>
      </c>
      <c r="C26">
        <f t="shared" si="1"/>
        <v>39</v>
      </c>
      <c r="D26">
        <f t="shared" si="2"/>
        <v>13</v>
      </c>
      <c r="E26" t="str">
        <f t="shared" si="3"/>
        <v>porcent_iva</v>
      </c>
      <c r="F26" t="s">
        <v>62</v>
      </c>
    </row>
    <row r="27" spans="1:6" x14ac:dyDescent="0.25">
      <c r="A27" s="4" t="s">
        <v>29</v>
      </c>
      <c r="B27">
        <f t="shared" si="0"/>
        <v>26</v>
      </c>
      <c r="C27">
        <f t="shared" si="1"/>
        <v>32</v>
      </c>
      <c r="D27">
        <f t="shared" si="2"/>
        <v>6</v>
      </c>
      <c r="E27" t="str">
        <f t="shared" si="3"/>
        <v>area</v>
      </c>
      <c r="F27" t="s">
        <v>63</v>
      </c>
    </row>
    <row r="28" spans="1:6" x14ac:dyDescent="0.25">
      <c r="A28" s="4" t="s">
        <v>30</v>
      </c>
      <c r="B28">
        <f t="shared" si="0"/>
        <v>26</v>
      </c>
      <c r="C28">
        <f t="shared" si="1"/>
        <v>34</v>
      </c>
      <c r="D28">
        <f t="shared" si="2"/>
        <v>8</v>
      </c>
      <c r="E28" t="str">
        <f t="shared" si="3"/>
        <v>cuenta</v>
      </c>
      <c r="F28" t="s">
        <v>64</v>
      </c>
    </row>
    <row r="29" spans="1:6" x14ac:dyDescent="0.25">
      <c r="A29" s="4" t="s">
        <v>31</v>
      </c>
      <c r="B29">
        <f t="shared" si="0"/>
        <v>26</v>
      </c>
      <c r="C29">
        <f t="shared" si="1"/>
        <v>32</v>
      </c>
      <c r="D29">
        <f t="shared" si="2"/>
        <v>6</v>
      </c>
      <c r="E29" t="str">
        <f t="shared" si="3"/>
        <v>obra</v>
      </c>
      <c r="F29" t="s">
        <v>65</v>
      </c>
    </row>
    <row r="30" spans="1:6" x14ac:dyDescent="0.25">
      <c r="A30" s="4" t="s">
        <v>32</v>
      </c>
      <c r="B30">
        <f t="shared" si="0"/>
        <v>26</v>
      </c>
      <c r="C30">
        <f t="shared" si="1"/>
        <v>36</v>
      </c>
      <c r="D30">
        <f t="shared" si="2"/>
        <v>10</v>
      </c>
      <c r="E30" t="str">
        <f t="shared" si="3"/>
        <v>multi_cc</v>
      </c>
      <c r="F30" t="s">
        <v>66</v>
      </c>
    </row>
    <row r="31" spans="1:6" x14ac:dyDescent="0.25">
      <c r="A31" s="4" t="s">
        <v>33</v>
      </c>
      <c r="B31">
        <f t="shared" si="0"/>
        <v>26</v>
      </c>
      <c r="C31">
        <f t="shared" si="1"/>
        <v>34</v>
      </c>
      <c r="D31">
        <f t="shared" si="2"/>
        <v>8</v>
      </c>
      <c r="E31" t="str">
        <f t="shared" si="3"/>
        <v>frente</v>
      </c>
      <c r="F31" t="s">
        <v>67</v>
      </c>
    </row>
    <row r="32" spans="1:6" x14ac:dyDescent="0.25">
      <c r="A32" s="4" t="s">
        <v>34</v>
      </c>
      <c r="B32">
        <f t="shared" si="0"/>
        <v>26</v>
      </c>
      <c r="C32">
        <f t="shared" si="1"/>
        <v>40</v>
      </c>
      <c r="D32">
        <f t="shared" si="2"/>
        <v>14</v>
      </c>
      <c r="E32" t="str">
        <f t="shared" si="3"/>
        <v>partida_obra</v>
      </c>
      <c r="F32" t="s">
        <v>68</v>
      </c>
    </row>
    <row r="33" spans="1:6" x14ac:dyDescent="0.25">
      <c r="A33" s="4" t="s">
        <v>35</v>
      </c>
      <c r="B33">
        <f t="shared" si="0"/>
        <v>26</v>
      </c>
      <c r="C33">
        <f t="shared" si="1"/>
        <v>43</v>
      </c>
      <c r="D33">
        <f t="shared" si="2"/>
        <v>17</v>
      </c>
      <c r="E33" t="str">
        <f t="shared" si="3"/>
        <v>descripcion_det</v>
      </c>
      <c r="F33" t="s">
        <v>69</v>
      </c>
    </row>
    <row r="34" spans="1:6" x14ac:dyDescent="0.25">
      <c r="A34" s="4" t="s">
        <v>36</v>
      </c>
      <c r="B34">
        <f t="shared" si="0"/>
        <v>26</v>
      </c>
      <c r="C34">
        <f t="shared" si="1"/>
        <v>43</v>
      </c>
      <c r="D34">
        <f t="shared" si="2"/>
        <v>17</v>
      </c>
      <c r="E34" t="str">
        <f t="shared" si="3"/>
        <v>num_requisicion</v>
      </c>
      <c r="F34" t="s">
        <v>70</v>
      </c>
    </row>
    <row r="35" spans="1:6" x14ac:dyDescent="0.25">
      <c r="A35" s="4" t="s">
        <v>37</v>
      </c>
      <c r="B35">
        <f t="shared" si="0"/>
        <v>26</v>
      </c>
      <c r="C35">
        <f t="shared" si="1"/>
        <v>44</v>
      </c>
      <c r="D35">
        <f t="shared" si="2"/>
        <v>18</v>
      </c>
      <c r="E35" t="str">
        <f t="shared" si="3"/>
        <v>part_requisicion</v>
      </c>
      <c r="F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Castro</dc:creator>
  <cp:lastModifiedBy>Israel Castro</cp:lastModifiedBy>
  <dcterms:created xsi:type="dcterms:W3CDTF">2026-03-02T21:14:59Z</dcterms:created>
  <dcterms:modified xsi:type="dcterms:W3CDTF">2026-03-06T18:33:26Z</dcterms:modified>
</cp:coreProperties>
</file>